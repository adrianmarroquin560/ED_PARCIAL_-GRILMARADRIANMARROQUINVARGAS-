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CE053CE4-3864-4A0C-8AD2-08B65032E4F0}" xr6:coauthVersionLast="47" xr6:coauthVersionMax="47" xr10:uidLastSave="{00000000-0000-0000-0000-000000000000}"/>
  <bookViews>
    <workbookView xWindow="-120" yWindow="-120" windowWidth="29040" windowHeight="15840" tabRatio="500" firstSheet="1" activeTab="3" xr2:uid="{00000000-000D-0000-FFFF-FFFF00000000}"/>
  </bookViews>
  <sheets>
    <sheet name="Guia de Uso" sheetId="1" r:id="rId1"/>
    <sheet name="1. Datos_Crudos" sheetId="2" r:id="rId2"/>
    <sheet name="2. Factorial" sheetId="3" r:id="rId3"/>
    <sheet name="3. Fibonacci" sheetId="4" r:id="rId4"/>
    <sheet name="4. Busqueda Lineal" sheetId="5" r:id="rId5"/>
    <sheet name="5. Burbuja" sheetId="6" r:id="rId6"/>
    <sheet name="6. Conclusion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9" i="2" l="1"/>
  <c r="D9" i="6" s="1"/>
  <c r="J48" i="2"/>
  <c r="D8" i="6" s="1"/>
  <c r="J47" i="2"/>
  <c r="D7" i="6" s="1"/>
  <c r="J46" i="2"/>
  <c r="D6" i="6" s="1"/>
  <c r="J45" i="2"/>
  <c r="D5" i="6" s="1"/>
  <c r="J44" i="2"/>
  <c r="C9" i="6" s="1"/>
  <c r="J43" i="2"/>
  <c r="C8" i="6" s="1"/>
  <c r="J42" i="2"/>
  <c r="C7" i="6" s="1"/>
  <c r="J41" i="2"/>
  <c r="C6" i="6" s="1"/>
  <c r="J40" i="2"/>
  <c r="C5" i="6" s="1"/>
  <c r="J38" i="2"/>
  <c r="D9" i="5" s="1"/>
  <c r="J37" i="2"/>
  <c r="D8" i="5" s="1"/>
  <c r="J36" i="2"/>
  <c r="D7" i="5" s="1"/>
  <c r="J35" i="2"/>
  <c r="D6" i="5" s="1"/>
  <c r="J34" i="2"/>
  <c r="D5" i="5" s="1"/>
  <c r="J33" i="2"/>
  <c r="C9" i="5" s="1"/>
  <c r="J32" i="2"/>
  <c r="C8" i="5" s="1"/>
  <c r="J31" i="2"/>
  <c r="C7" i="5" s="1"/>
  <c r="J30" i="2"/>
  <c r="C6" i="5" s="1"/>
  <c r="J29" i="2"/>
  <c r="C5" i="5" s="1"/>
  <c r="J27" i="2"/>
  <c r="D10" i="4" s="1"/>
  <c r="J26" i="2"/>
  <c r="D9" i="4" s="1"/>
  <c r="J25" i="2"/>
  <c r="D8" i="4" s="1"/>
  <c r="J24" i="2"/>
  <c r="D7" i="4" s="1"/>
  <c r="J23" i="2"/>
  <c r="D6" i="4" s="1"/>
  <c r="J22" i="2"/>
  <c r="D5" i="4" s="1"/>
  <c r="J21" i="2"/>
  <c r="C10" i="4" s="1"/>
  <c r="J20" i="2"/>
  <c r="C9" i="4" s="1"/>
  <c r="J19" i="2"/>
  <c r="C8" i="4" s="1"/>
  <c r="J18" i="2"/>
  <c r="C7" i="4" s="1"/>
  <c r="J17" i="2"/>
  <c r="C6" i="4" s="1"/>
  <c r="J16" i="2"/>
  <c r="C5" i="4" s="1"/>
  <c r="J14" i="2"/>
  <c r="D10" i="3" s="1"/>
  <c r="J13" i="2"/>
  <c r="D9" i="3" s="1"/>
  <c r="J12" i="2"/>
  <c r="D8" i="3" s="1"/>
  <c r="J11" i="2"/>
  <c r="D7" i="3" s="1"/>
  <c r="J10" i="2"/>
  <c r="D6" i="3" s="1"/>
  <c r="J9" i="2"/>
  <c r="D5" i="3" s="1"/>
  <c r="J8" i="2"/>
  <c r="C10" i="3" s="1"/>
  <c r="J7" i="2"/>
  <c r="C9" i="3" s="1"/>
  <c r="J6" i="2"/>
  <c r="C8" i="3" s="1"/>
  <c r="J5" i="2"/>
  <c r="C7" i="3" s="1"/>
  <c r="J4" i="2"/>
  <c r="C6" i="3" s="1"/>
  <c r="J3" i="2"/>
  <c r="C5" i="3" s="1"/>
</calcChain>
</file>

<file path=xl/sharedStrings.xml><?xml version="1.0" encoding="utf-8"?>
<sst xmlns="http://schemas.openxmlformats.org/spreadsheetml/2006/main" count="209" uniqueCount="74">
  <si>
    <t>GUIA DE USO — Ejemplo de Registro de Tiempos de Ejecucion</t>
  </si>
  <si>
    <t>Estructura de Datos | Ing. Brandon Chitay | Universidad Da Vinci de Guatemala</t>
  </si>
  <si>
    <t>PROPOSITO DEL ARCHIVO</t>
  </si>
  <si>
    <t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</si>
  <si>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>ESTRUCTURA DEL LIBRO</t>
  </si>
  <si>
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</si>
  <si>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>CODIGO DE COLORES</t>
  </si>
  <si>
    <t>Fondo AMARILLO → Celdas que TU debes rellenar con tus mediciones reales
Fondo VERDE → Formula automatica (promedio), NO la edites
Fondo AZUL → Encabezado, no modificar
Fondo GRIS → Dato de referencia calculado automaticamente</t>
  </si>
  <si>
    <t>COMO MEDIR EN JAVA</t>
  </si>
  <si>
    <t>long inicio  = System.nanoTime();
// ... tu algoritmo aqui ...
long fin     = System.nanoTime();
double ms    = (fin - inicio) / 1_000_000.0;
Repite 5 veces y registra cada resultado en las columnas Ej.1 a Ej.5.</t>
  </si>
  <si>
    <t>COMO CREAR LA GRAFICA</t>
  </si>
  <si>
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</si>
  <si>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>PREGUNTAS CLAVE</t>
  </si>
  <si>
    <t>Fibonacci: ¿por que el recursivo es tan mas lento que el iterativo?
Burbuja: ¿cuanto aumenta el tiempo al duplicar n? (pista: 4x)
¿Cual algoritmo es el mas rapido? ¿El mas lento?
¿Vale la pena la elegancia del codigo recursivo para Fibonacci?</t>
  </si>
  <si>
    <t>HOJA 1 — Datos Crudos | Tiempos de Ejecucion (ms)</t>
  </si>
  <si>
    <t>Algoritmo</t>
  </si>
  <si>
    <t>Version</t>
  </si>
  <si>
    <t>n</t>
  </si>
  <si>
    <t>Ej. 1 (ms)</t>
  </si>
  <si>
    <t>Ej. 2 (ms)</t>
  </si>
  <si>
    <t>Ej. 3 (ms)</t>
  </si>
  <si>
    <t>Ej. 4 (ms)</t>
  </si>
  <si>
    <t>Ej. 5 (ms)</t>
  </si>
  <si>
    <t>PROMEDIO (ms)</t>
  </si>
  <si>
    <t>A1 - Factorial</t>
  </si>
  <si>
    <t>Iterativo</t>
  </si>
  <si>
    <t>Recursivo</t>
  </si>
  <si>
    <t>A2 - Fibonacci</t>
  </si>
  <si>
    <t>A3 - Busqueda Lineal</t>
  </si>
  <si>
    <t>A4 - Burbuja</t>
  </si>
  <si>
    <t>Leyenda:  Fondo AMARILLO = ingresa tu medicion real  |  Fondo VERDE = promedio automatico (no editar)  |  Fondo NARANJA = version recursiva</t>
  </si>
  <si>
    <t>HOJA — A1 - Factorial | Iterativo vs. Recursivo</t>
  </si>
  <si>
    <t>Big-O Iterativo:</t>
  </si>
  <si>
    <t>O(n)</t>
  </si>
  <si>
    <t>Big-O Recursivo:  O(n)</t>
  </si>
  <si>
    <t>Iterativo
(O(n))</t>
  </si>
  <si>
    <t>Recursivo
(O(n))</t>
  </si>
  <si>
    <t>Observacion:  Ambas versiones son O(n): el tiempo crece linealmente con n.</t>
  </si>
  <si>
    <t>HOJA — A2 - Fibonacci | Iterativo vs. Recursivo</t>
  </si>
  <si>
    <t>Big-O Recursivo:  O(2^n)</t>
  </si>
  <si>
    <t>Recursivo
(O(2^n))</t>
  </si>
  <si>
    <t>Observacion:  Recursivo crece exponencialmente: duplicar n casi cuadriplica el tiempo.</t>
  </si>
  <si>
    <t>HOJA — A3 - Busqueda Lineal | Iterativo vs. Recursivo</t>
  </si>
  <si>
    <t>Observacion:  Ambas O(n): al multiplicar n x10, el tiempo tambien x10 aprox.</t>
  </si>
  <si>
    <t>HOJA — A4 - Burbuja | Iterativo vs. Recursivo</t>
  </si>
  <si>
    <t>O(n^2)</t>
  </si>
  <si>
    <t>Big-O Recursivo:  O(n^2)</t>
  </si>
  <si>
    <t>Iterativo
(O(n^2))</t>
  </si>
  <si>
    <t>Recursivo
(O(n^2))</t>
  </si>
  <si>
    <t>Observacion:  Ambas O(n^2): al x10 n, el tiempo aumenta aprox x100.</t>
  </si>
  <si>
    <t>HOJA 6 — Conclusiones | Big-O Experimental vs. Teorico</t>
  </si>
  <si>
    <t>Big-O Experimental
(de tu grafica)</t>
  </si>
  <si>
    <t>Big-O Teorico</t>
  </si>
  <si>
    <t>Coincide?</t>
  </si>
  <si>
    <t>Justificacion breve</t>
  </si>
  <si>
    <t>O(2^n)</t>
  </si>
  <si>
    <t>Guia para interpretar tus graficas:</t>
  </si>
  <si>
    <t>Linea recta en grafica</t>
  </si>
  <si>
    <t>→  Big-O es probablemente O(1) o O(n)</t>
  </si>
  <si>
    <t>Curva suave ascendente</t>
  </si>
  <si>
    <t>→  Big-O es probablemente O(n) o O(log n)</t>
  </si>
  <si>
    <t>Curva que sube rapido</t>
  </si>
  <si>
    <t>→  Big-O es probablemente O(n^2)</t>
  </si>
  <si>
    <t>Curva que explota (vertical)</t>
  </si>
  <si>
    <t>→  Big-O es probablemente O(2^n)</t>
  </si>
  <si>
    <t>Tiempos crecen de forma lineal con n; diferencias pequeñas entre repeticiones.</t>
  </si>
  <si>
    <t>Comportamiento lineal similar al iterativo para los n probados.</t>
  </si>
  <si>
    <t>SI</t>
  </si>
  <si>
    <t>Tiempos estables y proporcionales a n; no explotan con n.</t>
  </si>
  <si>
    <t>Tiempos crecen exponencialmente; n=30 tarda varios segundos.</t>
  </si>
  <si>
    <t>Tiempo aumenta aproximadamente proporcional a n; resultados coherentes.</t>
  </si>
  <si>
    <t>Comportamiento similar al iterativo; variación baja entre repeticiones.</t>
  </si>
  <si>
    <t>Comportamiento cuadrático claro; tiempos grandes para n=5000–10000.</t>
  </si>
  <si>
    <t>Tiempos aumentan rápidamente con n; 10×n = 100× tiempo en promedio.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</si>
</sst>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48029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333333"/>
      <name val="Courier New"/>
      <charset val="1"/>
    </font>
    <font>
      <b/>
      <sz val="13"/>
      <color rgb="FFFFFFFF"/>
      <name val="Arial"/>
      <charset val="1"/>
    </font>
    <font>
      <b/>
      <sz val="9"/>
      <color rgb="FF1B3A6B"/>
      <name val="Arial"/>
      <charset val="1"/>
    </font>
    <font>
      <sz val="9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666666"/>
      <name val="Arial"/>
      <charset val="1"/>
    </font>
    <font>
      <b/>
      <sz val="11"/>
      <color rgb="FF1B3A6B"/>
      <name val="Arial"/>
      <charset val="1"/>
    </font>
    <font>
      <b/>
      <sz val="10"/>
      <color rgb="FF000000"/>
      <name val="Arial"/>
      <charset val="1"/>
    </font>
    <font>
      <sz val="10"/>
      <color rgb="FF1B3A6B"/>
      <name val="Arial"/>
      <charset val="1"/>
    </font>
    <font>
      <sz val="10"/>
      <color rgb="FFA48029"/>
      <name val="Arial"/>
      <charset val="1"/>
    </font>
    <font>
      <i/>
      <sz val="9"/>
      <color rgb="FF333333"/>
      <name val="Arial"/>
      <charset val="1"/>
    </font>
    <font>
      <b/>
      <sz val="11"/>
      <color rgb="FF8B0000"/>
      <name val="Arial"/>
      <charset val="1"/>
    </font>
    <font>
      <sz val="10"/>
      <color rgb="FF8B0000"/>
      <name val="Arial"/>
      <charset val="1"/>
    </font>
    <font>
      <b/>
      <sz val="9"/>
      <color rgb="FFFFFFFF"/>
      <name val="Arial"/>
      <charset val="1"/>
    </font>
    <font>
      <sz val="9"/>
      <color rgb="FF444444"/>
      <name val="Arial"/>
      <charset val="1"/>
    </font>
    <font>
      <b/>
      <sz val="9"/>
      <color rgb="FF007700"/>
      <name val="Arial"/>
      <charset val="1"/>
    </font>
    <font>
      <sz val="9"/>
      <color rgb="FF333333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5" fillId="9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8" fillId="4" borderId="3" xfId="0" applyNumberFormat="1" applyFont="1" applyFill="1" applyBorder="1" applyAlignment="1">
      <alignment horizontal="center" vertical="center" wrapText="1"/>
    </xf>
    <xf numFmtId="164" fontId="18" fillId="9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16" fillId="7" borderId="1" xfId="0" applyFont="1" applyFill="1" applyBorder="1" applyAlignment="1">
      <alignment horizontal="left" vertical="center" wrapText="1"/>
    </xf>
    <xf numFmtId="0" fontId="22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left" vertical="center" wrapText="1"/>
    </xf>
    <xf numFmtId="0" fontId="2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0.14128800000000002</c:v>
                </c:pt>
                <c:pt idx="1">
                  <c:v>1.0120000000000001E-2</c:v>
                </c:pt>
                <c:pt idx="2">
                  <c:v>1.1375999999999999E-2</c:v>
                </c:pt>
                <c:pt idx="3">
                  <c:v>1.166E-2</c:v>
                </c:pt>
                <c:pt idx="4">
                  <c:v>1.1972E-2</c:v>
                </c:pt>
                <c:pt idx="5">
                  <c:v>9.7600000000000013E-3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D-E447-9AC9-C260900E5258}"/>
            </c:ext>
          </c:extLst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7.3039999999999997E-3</c:v>
                </c:pt>
                <c:pt idx="1">
                  <c:v>1.1068E-2</c:v>
                </c:pt>
                <c:pt idx="2">
                  <c:v>1.4863999999999999E-2</c:v>
                </c:pt>
                <c:pt idx="3">
                  <c:v>1.4772000000000002E-2</c:v>
                </c:pt>
                <c:pt idx="4">
                  <c:v>1.4876E-2</c:v>
                </c:pt>
                <c:pt idx="5">
                  <c:v>1.0932000000000001E-2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D-E447-9AC9-C260900E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45494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0.13609199999999999</c:v>
                </c:pt>
                <c:pt idx="1">
                  <c:v>5.536000000000001E-3</c:v>
                </c:pt>
                <c:pt idx="2">
                  <c:v>1.2584000000000001E-2</c:v>
                </c:pt>
                <c:pt idx="3">
                  <c:v>1.2115999999999998E-2</c:v>
                </c:pt>
                <c:pt idx="4">
                  <c:v>1.1204000000000002E-2</c:v>
                </c:pt>
                <c:pt idx="5">
                  <c:v>1.1404000000000001E-2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AD4B-90C6-422BA3BDE0D3}"/>
            </c:ext>
          </c:extLst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8.2799999999999992E-3</c:v>
                </c:pt>
                <c:pt idx="1">
                  <c:v>1.7024000000000001E-2</c:v>
                </c:pt>
                <c:pt idx="2">
                  <c:v>2.7376000000000001E-2</c:v>
                </c:pt>
                <c:pt idx="3">
                  <c:v>4.4864000000000001E-2</c:v>
                </c:pt>
                <c:pt idx="4">
                  <c:v>0.30584800000000001</c:v>
                </c:pt>
                <c:pt idx="5">
                  <c:v>2.6821120000000001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AD4B-90C6-422BA3BD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8528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0.14046400000000001</c:v>
                </c:pt>
                <c:pt idx="1">
                  <c:v>1.4079999999999999E-2</c:v>
                </c:pt>
                <c:pt idx="2">
                  <c:v>1.6879999999999999E-2</c:v>
                </c:pt>
                <c:pt idx="3">
                  <c:v>4.0127999999999997E-2</c:v>
                </c:pt>
                <c:pt idx="4">
                  <c:v>6.1231999999999995E-2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6-1E4D-B75D-F777358E9A55}"/>
            </c:ext>
          </c:extLst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6.9519999999999998E-3</c:v>
                </c:pt>
                <c:pt idx="1">
                  <c:v>2.3931999999999998E-2</c:v>
                </c:pt>
                <c:pt idx="2">
                  <c:v>1.5103999999999998E-2</c:v>
                </c:pt>
                <c:pt idx="3">
                  <c:v>4.1535999999999997E-2</c:v>
                </c:pt>
                <c:pt idx="4">
                  <c:v>2.4931999999999999E-2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6-1E4D-B75D-F777358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178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0.14065599999999998</c:v>
                </c:pt>
                <c:pt idx="1">
                  <c:v>0.41980400000000007</c:v>
                </c:pt>
                <c:pt idx="2">
                  <c:v>0.16869600000000001</c:v>
                </c:pt>
                <c:pt idx="3">
                  <c:v>1.5659160000000001</c:v>
                </c:pt>
                <c:pt idx="4">
                  <c:v>5.6599959999999996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E-C142-A1DC-71DCAAB9F93B}"/>
            </c:ext>
          </c:extLst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3.6276000000000003E-2</c:v>
                </c:pt>
                <c:pt idx="1">
                  <c:v>0.14738800000000002</c:v>
                </c:pt>
                <c:pt idx="2">
                  <c:v>0.40712000000000004</c:v>
                </c:pt>
                <c:pt idx="3">
                  <c:v>1.4280200000000001</c:v>
                </c:pt>
                <c:pt idx="4">
                  <c:v>5.3761120000000009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E-C142-A1DC-71DCAAB9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155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zoomScaleNormal="100" workbookViewId="0"/>
  </sheetViews>
  <sheetFormatPr baseColWidth="10" defaultColWidth="8.7109375" defaultRowHeight="15" customHeight="1" x14ac:dyDescent="0.25"/>
  <cols>
    <col min="1" max="1" width="3" customWidth="1"/>
    <col min="2" max="2" width="28" customWidth="1"/>
    <col min="3" max="3" width="60" customWidth="1"/>
    <col min="4" max="4" width="20" customWidth="1"/>
  </cols>
  <sheetData>
    <row r="1" spans="2:4" ht="6" customHeight="1" x14ac:dyDescent="0.25"/>
    <row r="2" spans="2:4" ht="36" customHeight="1" x14ac:dyDescent="0.25">
      <c r="B2" s="29" t="s">
        <v>0</v>
      </c>
      <c r="C2" s="29"/>
      <c r="D2" s="29"/>
    </row>
    <row r="3" spans="2:4" ht="21.75" customHeight="1" x14ac:dyDescent="0.25">
      <c r="B3" s="30" t="s">
        <v>1</v>
      </c>
      <c r="C3" s="30"/>
      <c r="D3" s="30"/>
    </row>
    <row r="4" spans="2:4" ht="9.75" customHeight="1" x14ac:dyDescent="0.25"/>
    <row r="5" spans="2:4" ht="27.75" customHeight="1" x14ac:dyDescent="0.25">
      <c r="B5" s="31" t="s">
        <v>2</v>
      </c>
      <c r="C5" s="32" t="s">
        <v>3</v>
      </c>
      <c r="D5" s="32"/>
    </row>
    <row r="6" spans="2:4" ht="60" customHeight="1" x14ac:dyDescent="0.25">
      <c r="B6" s="31"/>
      <c r="C6" s="33"/>
      <c r="D6" s="33"/>
    </row>
    <row r="7" spans="2:4" ht="6" customHeight="1" x14ac:dyDescent="0.25"/>
    <row r="8" spans="2:4" ht="27.75" customHeight="1" x14ac:dyDescent="0.25">
      <c r="B8" s="31" t="s">
        <v>4</v>
      </c>
      <c r="C8" s="34" t="s">
        <v>5</v>
      </c>
      <c r="D8" s="34"/>
    </row>
    <row r="9" spans="2:4" ht="117.75" customHeight="1" x14ac:dyDescent="0.25">
      <c r="B9" s="31"/>
      <c r="C9" s="33"/>
      <c r="D9" s="33"/>
    </row>
    <row r="10" spans="2:4" ht="6" customHeight="1" x14ac:dyDescent="0.25"/>
    <row r="11" spans="2:4" ht="27.75" customHeight="1" x14ac:dyDescent="0.25">
      <c r="B11" s="31" t="s">
        <v>6</v>
      </c>
      <c r="C11" s="34" t="s">
        <v>7</v>
      </c>
      <c r="D11" s="34"/>
    </row>
    <row r="12" spans="2:4" ht="81.75" customHeight="1" x14ac:dyDescent="0.25">
      <c r="B12" s="31"/>
      <c r="C12" s="33"/>
      <c r="D12" s="33"/>
    </row>
    <row r="13" spans="2:4" ht="6" customHeight="1" x14ac:dyDescent="0.25"/>
    <row r="14" spans="2:4" ht="27.75" customHeight="1" x14ac:dyDescent="0.25">
      <c r="B14" s="31" t="s">
        <v>8</v>
      </c>
      <c r="C14" s="35" t="s">
        <v>9</v>
      </c>
      <c r="D14" s="35"/>
    </row>
    <row r="15" spans="2:4" ht="99.75" customHeight="1" x14ac:dyDescent="0.25">
      <c r="B15" s="31"/>
      <c r="C15" s="33"/>
      <c r="D15" s="33"/>
    </row>
    <row r="16" spans="2:4" ht="6" customHeight="1" x14ac:dyDescent="0.25"/>
    <row r="17" spans="2:4" ht="27.75" customHeight="1" x14ac:dyDescent="0.25">
      <c r="B17" s="31" t="s">
        <v>10</v>
      </c>
      <c r="C17" s="32" t="s">
        <v>11</v>
      </c>
      <c r="D17" s="32"/>
    </row>
    <row r="18" spans="2:4" ht="99.75" customHeight="1" x14ac:dyDescent="0.25">
      <c r="B18" s="31"/>
      <c r="C18" s="33"/>
      <c r="D18" s="33"/>
    </row>
    <row r="19" spans="2:4" ht="6" customHeight="1" x14ac:dyDescent="0.25"/>
    <row r="20" spans="2:4" ht="27.75" customHeight="1" x14ac:dyDescent="0.25">
      <c r="B20" s="31" t="s">
        <v>12</v>
      </c>
      <c r="C20" s="34" t="s">
        <v>13</v>
      </c>
      <c r="D20" s="34"/>
    </row>
    <row r="21" spans="2:4" ht="81.75" customHeight="1" x14ac:dyDescent="0.25">
      <c r="B21" s="31"/>
      <c r="C21" s="33"/>
      <c r="D21" s="33"/>
    </row>
    <row r="22" spans="2:4" ht="6" customHeight="1" x14ac:dyDescent="0.25"/>
  </sheetData>
  <mergeCells count="20">
    <mergeCell ref="B20:B21"/>
    <mergeCell ref="C20:D20"/>
    <mergeCell ref="C21:D21"/>
    <mergeCell ref="B14:B15"/>
    <mergeCell ref="C14:D14"/>
    <mergeCell ref="C15:D15"/>
    <mergeCell ref="B17:B18"/>
    <mergeCell ref="C17:D17"/>
    <mergeCell ref="C18:D18"/>
    <mergeCell ref="B8:B9"/>
    <mergeCell ref="C8:D8"/>
    <mergeCell ref="C9:D9"/>
    <mergeCell ref="B11:B12"/>
    <mergeCell ref="C11:D11"/>
    <mergeCell ref="C12:D12"/>
    <mergeCell ref="B2:D2"/>
    <mergeCell ref="B3:D3"/>
    <mergeCell ref="B5:B6"/>
    <mergeCell ref="C5:D5"/>
    <mergeCell ref="C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2"/>
  <sheetViews>
    <sheetView showGridLines="0" zoomScaleNormal="100" workbookViewId="0">
      <pane ySplit="2" topLeftCell="A3" activePane="bottomLeft" state="frozen"/>
      <selection pane="bottomLeft" activeCell="I49" sqref="I49"/>
    </sheetView>
  </sheetViews>
  <sheetFormatPr baseColWidth="10" defaultColWidth="8.7109375" defaultRowHeight="15" customHeight="1" x14ac:dyDescent="0.25"/>
  <cols>
    <col min="1" max="1" width="3" customWidth="1"/>
    <col min="2" max="2" width="22" customWidth="1"/>
    <col min="3" max="3" width="14" customWidth="1"/>
    <col min="4" max="9" width="12" customWidth="1"/>
    <col min="10" max="10" width="14" customWidth="1"/>
    <col min="11" max="11" width="3" customWidth="1"/>
  </cols>
  <sheetData>
    <row r="1" spans="2:10" ht="33.75" customHeight="1" x14ac:dyDescent="0.25">
      <c r="B1" s="36" t="s">
        <v>14</v>
      </c>
      <c r="C1" s="36"/>
      <c r="D1" s="36"/>
      <c r="E1" s="36"/>
      <c r="F1" s="36"/>
      <c r="G1" s="36"/>
      <c r="H1" s="36"/>
      <c r="I1" s="36"/>
    </row>
    <row r="2" spans="2:10" ht="36" customHeight="1" x14ac:dyDescent="0.25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23</v>
      </c>
    </row>
    <row r="3" spans="2:10" ht="18" customHeight="1" x14ac:dyDescent="0.25">
      <c r="B3" s="3" t="s">
        <v>24</v>
      </c>
      <c r="C3" s="4" t="s">
        <v>25</v>
      </c>
      <c r="D3" s="5">
        <v>5</v>
      </c>
      <c r="E3" s="6">
        <v>0.15328</v>
      </c>
      <c r="F3" s="6">
        <v>0.14416000000000001</v>
      </c>
      <c r="G3" s="6">
        <v>0.11878</v>
      </c>
      <c r="H3" s="6">
        <v>0.14032</v>
      </c>
      <c r="I3" s="6">
        <v>0.14990000000000001</v>
      </c>
      <c r="J3" s="7">
        <f t="shared" ref="J3:J14" si="0">AVERAGE(E3:I3)</f>
        <v>0.14128800000000002</v>
      </c>
    </row>
    <row r="4" spans="2:10" ht="18" customHeight="1" x14ac:dyDescent="0.25">
      <c r="B4" s="3" t="s">
        <v>24</v>
      </c>
      <c r="C4" s="4" t="s">
        <v>25</v>
      </c>
      <c r="D4" s="5">
        <v>10</v>
      </c>
      <c r="E4" s="6">
        <v>8.26E-3</v>
      </c>
      <c r="F4" s="6">
        <v>9.1199999999999996E-3</v>
      </c>
      <c r="G4" s="6">
        <v>1.1639999999999999E-2</v>
      </c>
      <c r="H4" s="6">
        <v>1.09E-2</v>
      </c>
      <c r="I4" s="6">
        <v>1.068E-2</v>
      </c>
      <c r="J4" s="7">
        <f t="shared" si="0"/>
        <v>1.0120000000000001E-2</v>
      </c>
    </row>
    <row r="5" spans="2:10" ht="18" customHeight="1" x14ac:dyDescent="0.25">
      <c r="B5" s="3" t="s">
        <v>24</v>
      </c>
      <c r="C5" s="4" t="s">
        <v>25</v>
      </c>
      <c r="D5" s="5">
        <v>15</v>
      </c>
      <c r="E5" s="6">
        <v>1.1780000000000001E-2</v>
      </c>
      <c r="F5" s="6">
        <v>1.174E-2</v>
      </c>
      <c r="G5" s="6">
        <v>1.146E-2</v>
      </c>
      <c r="H5" s="6">
        <v>1.064E-2</v>
      </c>
      <c r="I5" s="6">
        <v>1.1259999999999999E-2</v>
      </c>
      <c r="J5" s="7">
        <f t="shared" si="0"/>
        <v>1.1375999999999999E-2</v>
      </c>
    </row>
    <row r="6" spans="2:10" ht="18" customHeight="1" x14ac:dyDescent="0.25">
      <c r="B6" s="3" t="s">
        <v>24</v>
      </c>
      <c r="C6" s="4" t="s">
        <v>25</v>
      </c>
      <c r="D6" s="5">
        <v>20</v>
      </c>
      <c r="E6" s="6">
        <v>9.2399999999999999E-3</v>
      </c>
      <c r="F6" s="6">
        <v>1.2540000000000001E-2</v>
      </c>
      <c r="G6" s="6">
        <v>1.2200000000000001E-2</v>
      </c>
      <c r="H6" s="6">
        <v>1.32E-2</v>
      </c>
      <c r="I6" s="6">
        <v>1.112E-2</v>
      </c>
      <c r="J6" s="7">
        <f t="shared" si="0"/>
        <v>1.166E-2</v>
      </c>
    </row>
    <row r="7" spans="2:10" ht="18" customHeight="1" x14ac:dyDescent="0.25">
      <c r="B7" s="3" t="s">
        <v>24</v>
      </c>
      <c r="C7" s="4" t="s">
        <v>25</v>
      </c>
      <c r="D7" s="5">
        <v>25</v>
      </c>
      <c r="E7" s="6">
        <v>1.4460000000000001E-2</v>
      </c>
      <c r="F7" s="6">
        <v>1.1299999999999999E-2</v>
      </c>
      <c r="G7" s="6">
        <v>1.336E-2</v>
      </c>
      <c r="H7" s="6">
        <v>9.6600000000000002E-3</v>
      </c>
      <c r="I7" s="6">
        <v>1.108E-2</v>
      </c>
      <c r="J7" s="7">
        <f t="shared" si="0"/>
        <v>1.1972E-2</v>
      </c>
    </row>
    <row r="8" spans="2:10" ht="18" customHeight="1" x14ac:dyDescent="0.25">
      <c r="B8" s="3" t="s">
        <v>24</v>
      </c>
      <c r="C8" s="4" t="s">
        <v>25</v>
      </c>
      <c r="D8" s="5">
        <v>30</v>
      </c>
      <c r="E8" s="6">
        <v>8.7799999999999996E-3</v>
      </c>
      <c r="F8" s="6">
        <v>9.8600000000000007E-3</v>
      </c>
      <c r="G8" s="6">
        <v>1.29E-2</v>
      </c>
      <c r="H8" s="6">
        <v>8.7600000000000004E-3</v>
      </c>
      <c r="I8" s="6">
        <v>8.5000000000000006E-3</v>
      </c>
      <c r="J8" s="7">
        <f t="shared" si="0"/>
        <v>9.7600000000000013E-3</v>
      </c>
    </row>
    <row r="9" spans="2:10" ht="18" customHeight="1" x14ac:dyDescent="0.25">
      <c r="B9" s="8" t="s">
        <v>24</v>
      </c>
      <c r="C9" s="9" t="s">
        <v>26</v>
      </c>
      <c r="D9" s="10">
        <v>5</v>
      </c>
      <c r="E9" s="6">
        <v>5.4799999999999996E-3</v>
      </c>
      <c r="F9" s="6">
        <v>7.5599999999999999E-3</v>
      </c>
      <c r="G9" s="6">
        <v>8.4200000000000004E-3</v>
      </c>
      <c r="H9" s="6">
        <v>7.0400000000000003E-3</v>
      </c>
      <c r="I9" s="6">
        <v>8.0199999999999994E-3</v>
      </c>
      <c r="J9" s="7">
        <f t="shared" si="0"/>
        <v>7.3039999999999997E-3</v>
      </c>
    </row>
    <row r="10" spans="2:10" ht="18" customHeight="1" x14ac:dyDescent="0.25">
      <c r="B10" s="8" t="s">
        <v>24</v>
      </c>
      <c r="C10" s="9" t="s">
        <v>26</v>
      </c>
      <c r="D10" s="10">
        <v>10</v>
      </c>
      <c r="E10" s="6">
        <v>1.078E-2</v>
      </c>
      <c r="F10" s="6">
        <v>1.23E-2</v>
      </c>
      <c r="G10" s="6">
        <v>1.01E-2</v>
      </c>
      <c r="H10" s="6">
        <v>1.048E-2</v>
      </c>
      <c r="I10" s="6">
        <v>1.1679999999999999E-2</v>
      </c>
      <c r="J10" s="7">
        <f t="shared" si="0"/>
        <v>1.1068E-2</v>
      </c>
    </row>
    <row r="11" spans="2:10" ht="18" customHeight="1" x14ac:dyDescent="0.25">
      <c r="B11" s="8" t="s">
        <v>24</v>
      </c>
      <c r="C11" s="9" t="s">
        <v>26</v>
      </c>
      <c r="D11" s="10">
        <v>15</v>
      </c>
      <c r="E11" s="6">
        <v>1.0120000000000001E-2</v>
      </c>
      <c r="F11" s="6">
        <v>1.7059999999999999E-2</v>
      </c>
      <c r="G11" s="6">
        <v>1.516E-2</v>
      </c>
      <c r="H11" s="6">
        <v>1.414E-2</v>
      </c>
      <c r="I11" s="6">
        <v>1.7840000000000002E-2</v>
      </c>
      <c r="J11" s="7">
        <f t="shared" si="0"/>
        <v>1.4863999999999999E-2</v>
      </c>
    </row>
    <row r="12" spans="2:10" ht="18" customHeight="1" x14ac:dyDescent="0.25">
      <c r="B12" s="8" t="s">
        <v>24</v>
      </c>
      <c r="C12" s="9" t="s">
        <v>26</v>
      </c>
      <c r="D12" s="10">
        <v>20</v>
      </c>
      <c r="E12" s="6">
        <v>1.3220000000000001E-2</v>
      </c>
      <c r="F12" s="6">
        <v>1.448E-2</v>
      </c>
      <c r="G12" s="6">
        <v>1.55E-2</v>
      </c>
      <c r="H12" s="6">
        <v>1.5740000000000001E-2</v>
      </c>
      <c r="I12" s="6">
        <v>1.4919999999999999E-2</v>
      </c>
      <c r="J12" s="7">
        <f t="shared" si="0"/>
        <v>1.4772000000000002E-2</v>
      </c>
    </row>
    <row r="13" spans="2:10" ht="18" customHeight="1" x14ac:dyDescent="0.25">
      <c r="B13" s="8" t="s">
        <v>24</v>
      </c>
      <c r="C13" s="9" t="s">
        <v>26</v>
      </c>
      <c r="D13" s="10">
        <v>25</v>
      </c>
      <c r="E13" s="6">
        <v>1.678E-2</v>
      </c>
      <c r="F13" s="6">
        <v>1.358E-2</v>
      </c>
      <c r="G13" s="6">
        <v>1.6619999999999999E-2</v>
      </c>
      <c r="H13" s="6">
        <v>1.4080000000000001E-2</v>
      </c>
      <c r="I13" s="6">
        <v>1.332E-2</v>
      </c>
      <c r="J13" s="7">
        <f t="shared" si="0"/>
        <v>1.4876E-2</v>
      </c>
    </row>
    <row r="14" spans="2:10" ht="18" customHeight="1" x14ac:dyDescent="0.25">
      <c r="B14" s="8" t="s">
        <v>24</v>
      </c>
      <c r="C14" s="9" t="s">
        <v>26</v>
      </c>
      <c r="D14" s="10">
        <v>30</v>
      </c>
      <c r="E14" s="6">
        <v>1.376E-2</v>
      </c>
      <c r="F14" s="6">
        <v>9.7000000000000003E-3</v>
      </c>
      <c r="G14" s="6">
        <v>9.4800000000000006E-3</v>
      </c>
      <c r="H14" s="6">
        <v>1.0580000000000001E-2</v>
      </c>
      <c r="I14" s="6">
        <v>1.1140000000000001E-2</v>
      </c>
      <c r="J14" s="7">
        <f t="shared" si="0"/>
        <v>1.0932000000000001E-2</v>
      </c>
    </row>
    <row r="16" spans="2:10" ht="18" customHeight="1" x14ac:dyDescent="0.25">
      <c r="B16" s="3" t="s">
        <v>27</v>
      </c>
      <c r="C16" s="4" t="s">
        <v>25</v>
      </c>
      <c r="D16" s="5">
        <v>5</v>
      </c>
      <c r="E16" s="6">
        <v>0.13694000000000001</v>
      </c>
      <c r="F16" s="6">
        <v>0.1447</v>
      </c>
      <c r="G16" s="6">
        <v>0.13239999999999999</v>
      </c>
      <c r="H16" s="6">
        <v>0.14499999999999999</v>
      </c>
      <c r="I16" s="6">
        <v>0.12142</v>
      </c>
      <c r="J16" s="7">
        <f t="shared" ref="J16:J27" si="1">AVERAGE(E16:I16)</f>
        <v>0.13609199999999999</v>
      </c>
    </row>
    <row r="17" spans="2:10" ht="18" customHeight="1" x14ac:dyDescent="0.25">
      <c r="B17" s="3" t="s">
        <v>27</v>
      </c>
      <c r="C17" s="4" t="s">
        <v>25</v>
      </c>
      <c r="D17" s="5">
        <v>10</v>
      </c>
      <c r="E17" s="6">
        <v>1.1220000000000001E-2</v>
      </c>
      <c r="F17" s="6">
        <v>4.8599999999999997E-3</v>
      </c>
      <c r="G17" s="6">
        <v>3.64E-3</v>
      </c>
      <c r="H17" s="6">
        <v>4.0400000000000002E-3</v>
      </c>
      <c r="I17" s="6">
        <v>3.9199999999999999E-3</v>
      </c>
      <c r="J17" s="7">
        <f t="shared" si="1"/>
        <v>5.536000000000001E-3</v>
      </c>
    </row>
    <row r="18" spans="2:10" ht="18" customHeight="1" x14ac:dyDescent="0.25">
      <c r="B18" s="3" t="s">
        <v>27</v>
      </c>
      <c r="C18" s="4" t="s">
        <v>25</v>
      </c>
      <c r="D18" s="5">
        <v>15</v>
      </c>
      <c r="E18" s="6">
        <v>1.95E-2</v>
      </c>
      <c r="F18" s="6">
        <v>1.1220000000000001E-2</v>
      </c>
      <c r="G18" s="6">
        <v>1.01E-2</v>
      </c>
      <c r="H18" s="6">
        <v>1.068E-2</v>
      </c>
      <c r="I18" s="6">
        <v>1.142E-2</v>
      </c>
      <c r="J18" s="7">
        <f t="shared" si="1"/>
        <v>1.2584000000000001E-2</v>
      </c>
    </row>
    <row r="19" spans="2:10" ht="18" customHeight="1" x14ac:dyDescent="0.25">
      <c r="B19" s="3" t="s">
        <v>27</v>
      </c>
      <c r="C19" s="4" t="s">
        <v>25</v>
      </c>
      <c r="D19" s="5">
        <v>20</v>
      </c>
      <c r="E19" s="6">
        <v>2.0979999999999999E-2</v>
      </c>
      <c r="F19" s="6">
        <v>1.03E-2</v>
      </c>
      <c r="G19" s="6">
        <v>1.0460000000000001E-2</v>
      </c>
      <c r="H19" s="6">
        <v>8.4200000000000004E-3</v>
      </c>
      <c r="I19" s="6">
        <v>1.042E-2</v>
      </c>
      <c r="J19" s="7">
        <f t="shared" si="1"/>
        <v>1.2115999999999998E-2</v>
      </c>
    </row>
    <row r="20" spans="2:10" ht="18" customHeight="1" x14ac:dyDescent="0.25">
      <c r="B20" s="3" t="s">
        <v>27</v>
      </c>
      <c r="C20" s="4" t="s">
        <v>25</v>
      </c>
      <c r="D20" s="5">
        <v>25</v>
      </c>
      <c r="E20" s="6">
        <v>1.414E-2</v>
      </c>
      <c r="F20" s="6">
        <v>1.176E-2</v>
      </c>
      <c r="G20" s="6">
        <v>9.2800000000000001E-3</v>
      </c>
      <c r="H20" s="6">
        <v>1.102E-2</v>
      </c>
      <c r="I20" s="6">
        <v>9.8200000000000006E-3</v>
      </c>
      <c r="J20" s="7">
        <f t="shared" si="1"/>
        <v>1.1204000000000002E-2</v>
      </c>
    </row>
    <row r="21" spans="2:10" ht="18" customHeight="1" x14ac:dyDescent="0.25">
      <c r="B21" s="3" t="s">
        <v>27</v>
      </c>
      <c r="C21" s="4" t="s">
        <v>25</v>
      </c>
      <c r="D21" s="5">
        <v>30</v>
      </c>
      <c r="E21" s="6">
        <v>1.3860000000000001E-2</v>
      </c>
      <c r="F21" s="6">
        <v>1.2619999999999999E-2</v>
      </c>
      <c r="G21" s="6">
        <v>1.0240000000000001E-2</v>
      </c>
      <c r="H21" s="6">
        <v>1.0319999999999999E-2</v>
      </c>
      <c r="I21" s="6">
        <v>9.9799999999999993E-3</v>
      </c>
      <c r="J21" s="7">
        <f t="shared" si="1"/>
        <v>1.1404000000000001E-2</v>
      </c>
    </row>
    <row r="22" spans="2:10" ht="18" customHeight="1" x14ac:dyDescent="0.25">
      <c r="B22" s="8" t="s">
        <v>27</v>
      </c>
      <c r="C22" s="9" t="s">
        <v>26</v>
      </c>
      <c r="D22" s="10">
        <v>5</v>
      </c>
      <c r="E22" s="6">
        <v>1.21E-2</v>
      </c>
      <c r="F22" s="6">
        <v>6.7999999999999996E-3</v>
      </c>
      <c r="G22" s="6">
        <v>7.4999999999999997E-3</v>
      </c>
      <c r="H22" s="6">
        <v>7.7200000000000003E-3</v>
      </c>
      <c r="I22" s="6">
        <v>7.28E-3</v>
      </c>
      <c r="J22" s="7">
        <f t="shared" si="1"/>
        <v>8.2799999999999992E-3</v>
      </c>
    </row>
    <row r="23" spans="2:10" ht="18" customHeight="1" x14ac:dyDescent="0.25">
      <c r="B23" s="8" t="s">
        <v>27</v>
      </c>
      <c r="C23" s="9" t="s">
        <v>26</v>
      </c>
      <c r="D23" s="10">
        <v>10</v>
      </c>
      <c r="E23" s="6">
        <v>2.462E-2</v>
      </c>
      <c r="F23" s="6">
        <v>1.6459999999999999E-2</v>
      </c>
      <c r="G23" s="6">
        <v>1.4880000000000001E-2</v>
      </c>
      <c r="H23" s="6">
        <v>1.418E-2</v>
      </c>
      <c r="I23" s="6">
        <v>1.498E-2</v>
      </c>
      <c r="J23" s="7">
        <f t="shared" si="1"/>
        <v>1.7024000000000001E-2</v>
      </c>
    </row>
    <row r="24" spans="2:10" ht="18" customHeight="1" x14ac:dyDescent="0.25">
      <c r="B24" s="8" t="s">
        <v>27</v>
      </c>
      <c r="C24" s="9" t="s">
        <v>26</v>
      </c>
      <c r="D24" s="10">
        <v>15</v>
      </c>
      <c r="E24" s="6">
        <v>3.5740000000000001E-2</v>
      </c>
      <c r="F24" s="6">
        <v>2.3959999999999999E-2</v>
      </c>
      <c r="G24" s="6">
        <v>2.6880000000000001E-2</v>
      </c>
      <c r="H24" s="6">
        <v>2.452E-2</v>
      </c>
      <c r="I24" s="6">
        <v>2.5780000000000001E-2</v>
      </c>
      <c r="J24" s="7">
        <f t="shared" si="1"/>
        <v>2.7376000000000001E-2</v>
      </c>
    </row>
    <row r="25" spans="2:10" ht="18" customHeight="1" x14ac:dyDescent="0.25">
      <c r="B25" s="8" t="s">
        <v>27</v>
      </c>
      <c r="C25" s="9" t="s">
        <v>26</v>
      </c>
      <c r="D25" s="10">
        <v>20</v>
      </c>
      <c r="E25" s="6">
        <v>4.6620000000000002E-2</v>
      </c>
      <c r="F25" s="6">
        <v>3.8100000000000002E-2</v>
      </c>
      <c r="G25" s="6">
        <v>3.9719999999999998E-2</v>
      </c>
      <c r="H25" s="6">
        <v>3.6159999999999998E-2</v>
      </c>
      <c r="I25" s="6">
        <v>6.3719999999999999E-2</v>
      </c>
      <c r="J25" s="7">
        <f t="shared" si="1"/>
        <v>4.4864000000000001E-2</v>
      </c>
    </row>
    <row r="26" spans="2:10" ht="18" customHeight="1" x14ac:dyDescent="0.25">
      <c r="B26" s="8" t="s">
        <v>27</v>
      </c>
      <c r="C26" s="9" t="s">
        <v>26</v>
      </c>
      <c r="D26" s="10">
        <v>25</v>
      </c>
      <c r="E26" s="6">
        <v>0.36015999999999998</v>
      </c>
      <c r="F26" s="6">
        <v>0.31337999999999999</v>
      </c>
      <c r="G26" s="6">
        <v>0.29409999999999997</v>
      </c>
      <c r="H26" s="6">
        <v>0.28145999999999999</v>
      </c>
      <c r="I26" s="6">
        <v>0.28014</v>
      </c>
      <c r="J26" s="7">
        <f t="shared" si="1"/>
        <v>0.30584800000000001</v>
      </c>
    </row>
    <row r="27" spans="2:10" ht="18" customHeight="1" x14ac:dyDescent="0.25">
      <c r="B27" s="8" t="s">
        <v>27</v>
      </c>
      <c r="C27" s="9" t="s">
        <v>26</v>
      </c>
      <c r="D27" s="10">
        <v>30</v>
      </c>
      <c r="E27" s="6">
        <v>2.8598400000000002</v>
      </c>
      <c r="F27" s="6">
        <v>2.6162000000000001</v>
      </c>
      <c r="G27" s="6">
        <v>2.6594000000000002</v>
      </c>
      <c r="H27" s="6">
        <v>2.5775800000000002</v>
      </c>
      <c r="I27" s="6">
        <v>2.69754</v>
      </c>
      <c r="J27" s="7">
        <f t="shared" si="1"/>
        <v>2.6821120000000001</v>
      </c>
    </row>
    <row r="29" spans="2:10" ht="18" customHeight="1" x14ac:dyDescent="0.25">
      <c r="B29" s="3" t="s">
        <v>28</v>
      </c>
      <c r="C29" s="4" t="s">
        <v>25</v>
      </c>
      <c r="D29" s="5">
        <v>100</v>
      </c>
      <c r="E29" s="6">
        <v>0.16524</v>
      </c>
      <c r="F29" s="6">
        <v>0.13500000000000001</v>
      </c>
      <c r="G29" s="6">
        <v>0.1666</v>
      </c>
      <c r="H29" s="6">
        <v>0.11867999999999999</v>
      </c>
      <c r="I29" s="6">
        <v>0.1168</v>
      </c>
      <c r="J29" s="7">
        <f t="shared" ref="J29:J38" si="2">AVERAGE(E29:I29)</f>
        <v>0.14046400000000001</v>
      </c>
    </row>
    <row r="30" spans="2:10" ht="18" customHeight="1" x14ac:dyDescent="0.25">
      <c r="B30" s="3" t="s">
        <v>28</v>
      </c>
      <c r="C30" s="4" t="s">
        <v>25</v>
      </c>
      <c r="D30" s="5">
        <v>500</v>
      </c>
      <c r="E30" s="6">
        <v>1.6899999999999998E-2</v>
      </c>
      <c r="F30" s="6">
        <v>1.294E-2</v>
      </c>
      <c r="G30" s="6">
        <v>1.406E-2</v>
      </c>
      <c r="H30" s="6">
        <v>1.2919999999999999E-2</v>
      </c>
      <c r="I30" s="6">
        <v>1.358E-2</v>
      </c>
      <c r="J30" s="7">
        <f t="shared" si="2"/>
        <v>1.4079999999999999E-2</v>
      </c>
    </row>
    <row r="31" spans="2:10" ht="18" customHeight="1" x14ac:dyDescent="0.25">
      <c r="B31" s="3" t="s">
        <v>28</v>
      </c>
      <c r="C31" s="4" t="s">
        <v>25</v>
      </c>
      <c r="D31" s="5">
        <v>1000</v>
      </c>
      <c r="E31" s="6">
        <v>1.9939999999999999E-2</v>
      </c>
      <c r="F31" s="6">
        <v>1.9259999999999999E-2</v>
      </c>
      <c r="G31" s="6">
        <v>1.6760000000000001E-2</v>
      </c>
      <c r="H31" s="6">
        <v>1.316E-2</v>
      </c>
      <c r="I31" s="6">
        <v>1.528E-2</v>
      </c>
      <c r="J31" s="7">
        <f t="shared" si="2"/>
        <v>1.6879999999999999E-2</v>
      </c>
    </row>
    <row r="32" spans="2:10" ht="18" customHeight="1" x14ac:dyDescent="0.25">
      <c r="B32" s="3" t="s">
        <v>28</v>
      </c>
      <c r="C32" s="4" t="s">
        <v>25</v>
      </c>
      <c r="D32" s="5">
        <v>5000</v>
      </c>
      <c r="E32" s="6">
        <v>3.9300000000000002E-2</v>
      </c>
      <c r="F32" s="6">
        <v>4.8419999999999998E-2</v>
      </c>
      <c r="G32" s="6">
        <v>3.8859999999999999E-2</v>
      </c>
      <c r="H32" s="6">
        <v>3.7699999999999997E-2</v>
      </c>
      <c r="I32" s="6">
        <v>3.6360000000000003E-2</v>
      </c>
      <c r="J32" s="7">
        <f t="shared" si="2"/>
        <v>4.0127999999999997E-2</v>
      </c>
    </row>
    <row r="33" spans="2:10" ht="18" customHeight="1" x14ac:dyDescent="0.25">
      <c r="B33" s="3" t="s">
        <v>28</v>
      </c>
      <c r="C33" s="4" t="s">
        <v>25</v>
      </c>
      <c r="D33" s="5">
        <v>10000</v>
      </c>
      <c r="E33" s="6">
        <v>6.9379999999999997E-2</v>
      </c>
      <c r="F33" s="6">
        <v>7.3760000000000006E-2</v>
      </c>
      <c r="G33" s="6">
        <v>6.83E-2</v>
      </c>
      <c r="H33" s="6">
        <v>2.588E-2</v>
      </c>
      <c r="I33" s="6">
        <v>6.8839999999999998E-2</v>
      </c>
      <c r="J33" s="7">
        <f t="shared" si="2"/>
        <v>6.1231999999999995E-2</v>
      </c>
    </row>
    <row r="34" spans="2:10" ht="18" customHeight="1" x14ac:dyDescent="0.25">
      <c r="B34" s="8" t="s">
        <v>28</v>
      </c>
      <c r="C34" s="9" t="s">
        <v>26</v>
      </c>
      <c r="D34" s="10">
        <v>100</v>
      </c>
      <c r="E34" s="6">
        <v>8.2000000000000007E-3</v>
      </c>
      <c r="F34" s="6">
        <v>7.0800000000000004E-3</v>
      </c>
      <c r="G34" s="6">
        <v>6.3200000000000001E-3</v>
      </c>
      <c r="H34" s="6">
        <v>6.3200000000000001E-3</v>
      </c>
      <c r="I34" s="6">
        <v>6.8399999999999997E-3</v>
      </c>
      <c r="J34" s="7">
        <f t="shared" si="2"/>
        <v>6.9519999999999998E-3</v>
      </c>
    </row>
    <row r="35" spans="2:10" ht="18" customHeight="1" x14ac:dyDescent="0.25">
      <c r="B35" s="8" t="s">
        <v>28</v>
      </c>
      <c r="C35" s="9" t="s">
        <v>26</v>
      </c>
      <c r="D35" s="10">
        <v>500</v>
      </c>
      <c r="E35" s="6">
        <v>2.7300000000000001E-2</v>
      </c>
      <c r="F35" s="6">
        <v>2.3040000000000001E-2</v>
      </c>
      <c r="G35" s="6">
        <v>2.112E-2</v>
      </c>
      <c r="H35" s="6">
        <v>2.3879999999999998E-2</v>
      </c>
      <c r="I35" s="6">
        <v>2.4320000000000001E-2</v>
      </c>
      <c r="J35" s="7">
        <f t="shared" si="2"/>
        <v>2.3931999999999998E-2</v>
      </c>
    </row>
    <row r="36" spans="2:10" ht="18" customHeight="1" x14ac:dyDescent="0.25">
      <c r="B36" s="8" t="s">
        <v>28</v>
      </c>
      <c r="C36" s="9" t="s">
        <v>26</v>
      </c>
      <c r="D36" s="10">
        <v>1000</v>
      </c>
      <c r="E36" s="6">
        <v>1.9380000000000001E-2</v>
      </c>
      <c r="F36" s="6">
        <v>1.84E-2</v>
      </c>
      <c r="G36" s="6">
        <v>1.3140000000000001E-2</v>
      </c>
      <c r="H36" s="6">
        <v>1.174E-2</v>
      </c>
      <c r="I36" s="6">
        <v>1.286E-2</v>
      </c>
      <c r="J36" s="7">
        <f t="shared" si="2"/>
        <v>1.5103999999999998E-2</v>
      </c>
    </row>
    <row r="37" spans="2:10" ht="18" customHeight="1" x14ac:dyDescent="0.25">
      <c r="B37" s="8" t="s">
        <v>28</v>
      </c>
      <c r="C37" s="9" t="s">
        <v>26</v>
      </c>
      <c r="D37" s="10">
        <v>5000</v>
      </c>
      <c r="E37" s="6">
        <v>3.5159999999999997E-2</v>
      </c>
      <c r="F37" s="6">
        <v>5.6399999999999999E-2</v>
      </c>
      <c r="G37" s="6">
        <v>3.8199999999999998E-2</v>
      </c>
      <c r="H37" s="6">
        <v>3.508E-2</v>
      </c>
      <c r="I37" s="6">
        <v>4.2840000000000003E-2</v>
      </c>
      <c r="J37" s="7">
        <f t="shared" si="2"/>
        <v>4.1535999999999997E-2</v>
      </c>
    </row>
    <row r="38" spans="2:10" ht="18" customHeight="1" x14ac:dyDescent="0.25">
      <c r="B38" s="8" t="s">
        <v>28</v>
      </c>
      <c r="C38" s="9" t="s">
        <v>26</v>
      </c>
      <c r="D38" s="10">
        <v>10000</v>
      </c>
      <c r="E38" s="6">
        <v>2.8139999999999998E-2</v>
      </c>
      <c r="F38" s="6">
        <v>2.8879999999999999E-2</v>
      </c>
      <c r="G38" s="6">
        <v>2.7640000000000001E-2</v>
      </c>
      <c r="H38" s="6">
        <v>1.494E-2</v>
      </c>
      <c r="I38" s="6">
        <v>2.5059999999999999E-2</v>
      </c>
      <c r="J38" s="7">
        <f t="shared" si="2"/>
        <v>2.4931999999999999E-2</v>
      </c>
    </row>
    <row r="40" spans="2:10" ht="18" customHeight="1" x14ac:dyDescent="0.25">
      <c r="B40" s="3" t="s">
        <v>29</v>
      </c>
      <c r="C40" s="4" t="s">
        <v>25</v>
      </c>
      <c r="D40" s="5">
        <v>100</v>
      </c>
      <c r="E40" s="6">
        <v>0.17943999999999999</v>
      </c>
      <c r="F40" s="6">
        <v>0.17707999999999999</v>
      </c>
      <c r="G40" s="6">
        <v>0.17132</v>
      </c>
      <c r="H40" s="6">
        <v>6.3200000000000001E-3</v>
      </c>
      <c r="I40" s="6">
        <v>0.16911999999999999</v>
      </c>
      <c r="J40" s="7">
        <f t="shared" ref="J40:J49" si="3">AVERAGE(E40:I40)</f>
        <v>0.14065599999999998</v>
      </c>
    </row>
    <row r="41" spans="2:10" ht="18" customHeight="1" x14ac:dyDescent="0.25">
      <c r="B41" s="3" t="s">
        <v>29</v>
      </c>
      <c r="C41" s="4" t="s">
        <v>25</v>
      </c>
      <c r="D41" s="5">
        <v>500</v>
      </c>
      <c r="E41" s="6">
        <v>0.45040000000000002</v>
      </c>
      <c r="F41" s="6">
        <v>0.42824000000000001</v>
      </c>
      <c r="G41" s="6">
        <v>0.42055999999999999</v>
      </c>
      <c r="H41" s="6">
        <v>0.3866</v>
      </c>
      <c r="I41" s="6">
        <v>0.41321999999999998</v>
      </c>
      <c r="J41" s="7">
        <f t="shared" si="3"/>
        <v>0.41980400000000007</v>
      </c>
    </row>
    <row r="42" spans="2:10" ht="18" customHeight="1" x14ac:dyDescent="0.25">
      <c r="B42" s="3" t="s">
        <v>29</v>
      </c>
      <c r="C42" s="4" t="s">
        <v>25</v>
      </c>
      <c r="D42" s="5">
        <v>1000</v>
      </c>
      <c r="E42" s="6">
        <v>0.10688</v>
      </c>
      <c r="F42" s="6">
        <v>0.34188000000000002</v>
      </c>
      <c r="G42" s="6">
        <v>0.1305</v>
      </c>
      <c r="H42" s="6">
        <v>0.12866</v>
      </c>
      <c r="I42" s="6">
        <v>0.13556000000000001</v>
      </c>
      <c r="J42" s="7">
        <f t="shared" si="3"/>
        <v>0.16869600000000001</v>
      </c>
    </row>
    <row r="43" spans="2:10" ht="18" customHeight="1" x14ac:dyDescent="0.25">
      <c r="B43" s="3" t="s">
        <v>29</v>
      </c>
      <c r="C43" s="4" t="s">
        <v>25</v>
      </c>
      <c r="D43" s="5">
        <v>5000</v>
      </c>
      <c r="E43" s="6">
        <v>1.5107600000000001</v>
      </c>
      <c r="F43" s="6">
        <v>1.6475200000000001</v>
      </c>
      <c r="G43" s="6">
        <v>1.52182</v>
      </c>
      <c r="H43" s="6">
        <v>1.63886</v>
      </c>
      <c r="I43" s="6">
        <v>1.5106200000000001</v>
      </c>
      <c r="J43" s="7">
        <f t="shared" si="3"/>
        <v>1.5659160000000001</v>
      </c>
    </row>
    <row r="44" spans="2:10" ht="18" customHeight="1" x14ac:dyDescent="0.25">
      <c r="B44" s="3" t="s">
        <v>29</v>
      </c>
      <c r="C44" s="4" t="s">
        <v>25</v>
      </c>
      <c r="D44" s="5">
        <v>10000</v>
      </c>
      <c r="E44" s="6">
        <v>5.6403999999999996</v>
      </c>
      <c r="F44" s="6">
        <v>5.5303800000000001</v>
      </c>
      <c r="G44" s="6">
        <v>5.6113</v>
      </c>
      <c r="H44" s="6">
        <v>5.9486999999999997</v>
      </c>
      <c r="I44" s="6">
        <v>5.5692000000000004</v>
      </c>
      <c r="J44" s="7">
        <f t="shared" si="3"/>
        <v>5.6599959999999996</v>
      </c>
    </row>
    <row r="45" spans="2:10" ht="18" customHeight="1" x14ac:dyDescent="0.25">
      <c r="B45" s="8" t="s">
        <v>29</v>
      </c>
      <c r="C45" s="9" t="s">
        <v>26</v>
      </c>
      <c r="D45" s="10">
        <v>100</v>
      </c>
      <c r="E45" s="6">
        <v>3.9079999999999997E-2</v>
      </c>
      <c r="F45" s="6">
        <v>3.7740000000000003E-2</v>
      </c>
      <c r="G45" s="6">
        <v>3.662E-2</v>
      </c>
      <c r="H45" s="6">
        <v>3.644E-2</v>
      </c>
      <c r="I45" s="6">
        <v>3.15E-2</v>
      </c>
      <c r="J45" s="7">
        <f t="shared" si="3"/>
        <v>3.6276000000000003E-2</v>
      </c>
    </row>
    <row r="46" spans="2:10" ht="18" customHeight="1" x14ac:dyDescent="0.25">
      <c r="B46" s="8" t="s">
        <v>29</v>
      </c>
      <c r="C46" s="9" t="s">
        <v>26</v>
      </c>
      <c r="D46" s="10">
        <v>500</v>
      </c>
      <c r="E46" s="6">
        <v>0.11124000000000001</v>
      </c>
      <c r="F46" s="6">
        <v>0.14702000000000001</v>
      </c>
      <c r="G46" s="6">
        <v>0.16331999999999999</v>
      </c>
      <c r="H46" s="6">
        <v>0.13561999999999999</v>
      </c>
      <c r="I46" s="6">
        <v>0.17974000000000001</v>
      </c>
      <c r="J46" s="7">
        <f t="shared" si="3"/>
        <v>0.14738800000000002</v>
      </c>
    </row>
    <row r="47" spans="2:10" ht="18" customHeight="1" x14ac:dyDescent="0.25">
      <c r="B47" s="8" t="s">
        <v>29</v>
      </c>
      <c r="C47" s="9" t="s">
        <v>26</v>
      </c>
      <c r="D47" s="10">
        <v>1000</v>
      </c>
      <c r="E47" s="6">
        <v>0.47767999999999999</v>
      </c>
      <c r="F47" s="6">
        <v>0.53876000000000002</v>
      </c>
      <c r="G47" s="6">
        <v>1.3140000000000001E-2</v>
      </c>
      <c r="H47" s="6">
        <v>0.50692000000000004</v>
      </c>
      <c r="I47" s="6">
        <v>0.49909999999999999</v>
      </c>
      <c r="J47" s="7">
        <f t="shared" si="3"/>
        <v>0.40712000000000004</v>
      </c>
    </row>
    <row r="48" spans="2:10" ht="18" customHeight="1" x14ac:dyDescent="0.25">
      <c r="B48" s="8" t="s">
        <v>29</v>
      </c>
      <c r="C48" s="9" t="s">
        <v>26</v>
      </c>
      <c r="D48" s="10">
        <v>5000</v>
      </c>
      <c r="E48" s="6">
        <v>1.4176599999999999</v>
      </c>
      <c r="F48" s="6">
        <v>1.4754</v>
      </c>
      <c r="G48" s="6">
        <v>1.32104</v>
      </c>
      <c r="H48" s="6">
        <v>1.4925200000000001</v>
      </c>
      <c r="I48" s="6">
        <v>1.4334800000000001</v>
      </c>
      <c r="J48" s="7">
        <f t="shared" si="3"/>
        <v>1.4280200000000001</v>
      </c>
    </row>
    <row r="49" spans="2:10" ht="18" customHeight="1" x14ac:dyDescent="0.25">
      <c r="B49" s="8" t="s">
        <v>29</v>
      </c>
      <c r="C49" s="9" t="s">
        <v>26</v>
      </c>
      <c r="D49" s="10">
        <v>10000</v>
      </c>
      <c r="E49" s="6">
        <v>5.5023200000000001</v>
      </c>
      <c r="F49" s="6">
        <v>5.3925999999999998</v>
      </c>
      <c r="G49" s="6">
        <v>5.1207799999999999</v>
      </c>
      <c r="H49" s="6">
        <v>5.5073600000000003</v>
      </c>
      <c r="I49" s="6">
        <v>5.3574999999999999</v>
      </c>
      <c r="J49" s="7">
        <f t="shared" si="3"/>
        <v>5.3761120000000009</v>
      </c>
    </row>
    <row r="52" spans="2:10" x14ac:dyDescent="0.25">
      <c r="B52" s="37" t="s">
        <v>30</v>
      </c>
      <c r="C52" s="37"/>
      <c r="D52" s="37"/>
      <c r="E52" s="37"/>
      <c r="F52" s="37"/>
      <c r="G52" s="37"/>
      <c r="H52" s="37"/>
      <c r="I52" s="37"/>
      <c r="J52" s="37"/>
    </row>
  </sheetData>
  <mergeCells count="2">
    <mergeCell ref="B1:I1"/>
    <mergeCell ref="B52:J5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zoomScaleNormal="100" workbookViewId="0">
      <selection activeCell="D4" sqref="D4"/>
    </sheetView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6" t="s">
        <v>31</v>
      </c>
      <c r="C1" s="36"/>
      <c r="D1" s="36"/>
    </row>
    <row r="2" spans="2:4" ht="21.75" customHeight="1" x14ac:dyDescent="0.25">
      <c r="B2" s="3" t="s">
        <v>32</v>
      </c>
      <c r="C2" s="11" t="s">
        <v>33</v>
      </c>
      <c r="D2" s="11" t="s">
        <v>34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36</v>
      </c>
    </row>
    <row r="5" spans="2:4" ht="19.5" customHeight="1" x14ac:dyDescent="0.25">
      <c r="B5" s="12">
        <v>5</v>
      </c>
      <c r="C5" s="13">
        <f>AVERAGEIFS('1. Datos_Crudos'!$J:$J,'1. Datos_Crudos'!$B:$B,"A1 - Factorial",'1. Datos_Crudos'!$C:$C,"Iterativo",'1. Datos_Crudos'!$D:$D,B5)</f>
        <v>0.14128800000000002</v>
      </c>
      <c r="D5" s="14">
        <f>AVERAGEIFS('1. Datos_Crudos'!$J:$J,'1. Datos_Crudos'!$B:$B,"A1 - Factorial",'1. Datos_Crudos'!$C:$C,"Recursivo",'1. Datos_Crudos'!$D:$D,B5)</f>
        <v>7.3039999999999997E-3</v>
      </c>
    </row>
    <row r="6" spans="2:4" ht="19.5" customHeight="1" x14ac:dyDescent="0.25">
      <c r="B6" s="15">
        <v>10</v>
      </c>
      <c r="C6" s="16">
        <f>AVERAGEIFS('1. Datos_Crudos'!$J:$J,'1. Datos_Crudos'!$B:$B,"A1 - Factorial",'1. Datos_Crudos'!$C:$C,"Iterativo",'1. Datos_Crudos'!$D:$D,B6)</f>
        <v>1.0120000000000001E-2</v>
      </c>
      <c r="D6" s="17">
        <f>AVERAGEIFS('1. Datos_Crudos'!$J:$J,'1. Datos_Crudos'!$B:$B,"A1 - Factorial",'1. Datos_Crudos'!$C:$C,"Recursivo",'1. Datos_Crudos'!$D:$D,B6)</f>
        <v>1.1068E-2</v>
      </c>
    </row>
    <row r="7" spans="2:4" ht="19.5" customHeight="1" x14ac:dyDescent="0.25">
      <c r="B7" s="12">
        <v>15</v>
      </c>
      <c r="C7" s="13">
        <f>AVERAGEIFS('1. Datos_Crudos'!$J:$J,'1. Datos_Crudos'!$B:$B,"A1 - Factorial",'1. Datos_Crudos'!$C:$C,"Iterativo",'1. Datos_Crudos'!$D:$D,B7)</f>
        <v>1.1375999999999999E-2</v>
      </c>
      <c r="D7" s="14">
        <f>AVERAGEIFS('1. Datos_Crudos'!$J:$J,'1. Datos_Crudos'!$B:$B,"A1 - Factorial",'1. Datos_Crudos'!$C:$C,"Recursivo",'1. Datos_Crudos'!$D:$D,B7)</f>
        <v>1.4863999999999999E-2</v>
      </c>
    </row>
    <row r="8" spans="2:4" ht="19.5" customHeight="1" x14ac:dyDescent="0.25">
      <c r="B8" s="15">
        <v>20</v>
      </c>
      <c r="C8" s="16">
        <f>AVERAGEIFS('1. Datos_Crudos'!$J:$J,'1. Datos_Crudos'!$B:$B,"A1 - Factorial",'1. Datos_Crudos'!$C:$C,"Iterativo",'1. Datos_Crudos'!$D:$D,B8)</f>
        <v>1.166E-2</v>
      </c>
      <c r="D8" s="17">
        <f>AVERAGEIFS('1. Datos_Crudos'!$J:$J,'1. Datos_Crudos'!$B:$B,"A1 - Factorial",'1. Datos_Crudos'!$C:$C,"Recursivo",'1. Datos_Crudos'!$D:$D,B8)</f>
        <v>1.4772000000000002E-2</v>
      </c>
    </row>
    <row r="9" spans="2:4" ht="19.5" customHeight="1" x14ac:dyDescent="0.25">
      <c r="B9" s="12">
        <v>25</v>
      </c>
      <c r="C9" s="13">
        <f>AVERAGEIFS('1. Datos_Crudos'!$J:$J,'1. Datos_Crudos'!$B:$B,"A1 - Factorial",'1. Datos_Crudos'!$C:$C,"Iterativo",'1. Datos_Crudos'!$D:$D,B9)</f>
        <v>1.1972E-2</v>
      </c>
      <c r="D9" s="14">
        <f>AVERAGEIFS('1. Datos_Crudos'!$J:$J,'1. Datos_Crudos'!$B:$B,"A1 - Factorial",'1. Datos_Crudos'!$C:$C,"Recursivo",'1. Datos_Crudos'!$D:$D,B9)</f>
        <v>1.4876E-2</v>
      </c>
    </row>
    <row r="10" spans="2:4" ht="19.5" customHeight="1" x14ac:dyDescent="0.25">
      <c r="B10" s="15">
        <v>30</v>
      </c>
      <c r="C10" s="16">
        <f>AVERAGEIFS('1. Datos_Crudos'!$J:$J,'1. Datos_Crudos'!$B:$B,"A1 - Factorial",'1. Datos_Crudos'!$C:$C,"Iterativo",'1. Datos_Crudos'!$D:$D,B10)</f>
        <v>9.7600000000000013E-3</v>
      </c>
      <c r="D10" s="17">
        <f>AVERAGEIFS('1. Datos_Crudos'!$J:$J,'1. Datos_Crudos'!$B:$B,"A1 - Factorial",'1. Datos_Crudos'!$C:$C,"Recursivo",'1. Datos_Crudos'!$D:$D,B10)</f>
        <v>1.0932000000000001E-2</v>
      </c>
    </row>
    <row r="12" spans="2:4" ht="39.75" customHeight="1" x14ac:dyDescent="0.25">
      <c r="B12" s="38" t="s">
        <v>37</v>
      </c>
      <c r="C12" s="38"/>
      <c r="D12" s="38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showGridLines="0" tabSelected="1" zoomScaleNormal="100" workbookViewId="0">
      <selection activeCell="U14" sqref="U14"/>
    </sheetView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6" t="s">
        <v>38</v>
      </c>
      <c r="C1" s="36"/>
      <c r="D1" s="36"/>
    </row>
    <row r="2" spans="2:4" ht="21.75" customHeight="1" x14ac:dyDescent="0.25">
      <c r="B2" s="3" t="s">
        <v>32</v>
      </c>
      <c r="C2" s="11" t="s">
        <v>33</v>
      </c>
      <c r="D2" s="18" t="s">
        <v>39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40</v>
      </c>
    </row>
    <row r="5" spans="2:4" ht="19.5" customHeight="1" x14ac:dyDescent="0.25">
      <c r="B5" s="12">
        <v>5</v>
      </c>
      <c r="C5" s="13">
        <f>AVERAGEIFS('1. Datos_Crudos'!$J:$J,'1. Datos_Crudos'!$B:$B,"A2 - Fibonacci",'1. Datos_Crudos'!$C:$C,"Iterativo",'1. Datos_Crudos'!$D:$D,B5)</f>
        <v>0.13609199999999999</v>
      </c>
      <c r="D5" s="19">
        <f>AVERAGEIFS('1. Datos_Crudos'!$J:$J,'1. Datos_Crudos'!$B:$B,"A2 - Fibonacci",'1. Datos_Crudos'!$C:$C,"Recursivo",'1. Datos_Crudos'!$D:$D,B5)</f>
        <v>8.2799999999999992E-3</v>
      </c>
    </row>
    <row r="6" spans="2:4" ht="19.5" customHeight="1" x14ac:dyDescent="0.25">
      <c r="B6" s="15">
        <v>10</v>
      </c>
      <c r="C6" s="16">
        <f>AVERAGEIFS('1. Datos_Crudos'!$J:$J,'1. Datos_Crudos'!$B:$B,"A2 - Fibonacci",'1. Datos_Crudos'!$C:$C,"Iterativo",'1. Datos_Crudos'!$D:$D,B6)</f>
        <v>5.536000000000001E-3</v>
      </c>
      <c r="D6" s="20">
        <f>AVERAGEIFS('1. Datos_Crudos'!$J:$J,'1. Datos_Crudos'!$B:$B,"A2 - Fibonacci",'1. Datos_Crudos'!$C:$C,"Recursivo",'1. Datos_Crudos'!$D:$D,B6)</f>
        <v>1.7024000000000001E-2</v>
      </c>
    </row>
    <row r="7" spans="2:4" ht="19.5" customHeight="1" x14ac:dyDescent="0.25">
      <c r="B7" s="12">
        <v>15</v>
      </c>
      <c r="C7" s="13">
        <f>AVERAGEIFS('1. Datos_Crudos'!$J:$J,'1. Datos_Crudos'!$B:$B,"A2 - Fibonacci",'1. Datos_Crudos'!$C:$C,"Iterativo",'1. Datos_Crudos'!$D:$D,B7)</f>
        <v>1.2584000000000001E-2</v>
      </c>
      <c r="D7" s="19">
        <f>AVERAGEIFS('1. Datos_Crudos'!$J:$J,'1. Datos_Crudos'!$B:$B,"A2 - Fibonacci",'1. Datos_Crudos'!$C:$C,"Recursivo",'1. Datos_Crudos'!$D:$D,B7)</f>
        <v>2.7376000000000001E-2</v>
      </c>
    </row>
    <row r="8" spans="2:4" ht="19.5" customHeight="1" x14ac:dyDescent="0.25">
      <c r="B8" s="15">
        <v>20</v>
      </c>
      <c r="C8" s="16">
        <f>AVERAGEIFS('1. Datos_Crudos'!$J:$J,'1. Datos_Crudos'!$B:$B,"A2 - Fibonacci",'1. Datos_Crudos'!$C:$C,"Iterativo",'1. Datos_Crudos'!$D:$D,B8)</f>
        <v>1.2115999999999998E-2</v>
      </c>
      <c r="D8" s="20">
        <f>AVERAGEIFS('1. Datos_Crudos'!$J:$J,'1. Datos_Crudos'!$B:$B,"A2 - Fibonacci",'1. Datos_Crudos'!$C:$C,"Recursivo",'1. Datos_Crudos'!$D:$D,B8)</f>
        <v>4.4864000000000001E-2</v>
      </c>
    </row>
    <row r="9" spans="2:4" ht="19.5" customHeight="1" x14ac:dyDescent="0.25">
      <c r="B9" s="12">
        <v>25</v>
      </c>
      <c r="C9" s="13">
        <f>AVERAGEIFS('1. Datos_Crudos'!$J:$J,'1. Datos_Crudos'!$B:$B,"A2 - Fibonacci",'1. Datos_Crudos'!$C:$C,"Iterativo",'1. Datos_Crudos'!$D:$D,B9)</f>
        <v>1.1204000000000002E-2</v>
      </c>
      <c r="D9" s="19">
        <f>AVERAGEIFS('1. Datos_Crudos'!$J:$J,'1. Datos_Crudos'!$B:$B,"A2 - Fibonacci",'1. Datos_Crudos'!$C:$C,"Recursivo",'1. Datos_Crudos'!$D:$D,B9)</f>
        <v>0.30584800000000001</v>
      </c>
    </row>
    <row r="10" spans="2:4" ht="19.5" customHeight="1" x14ac:dyDescent="0.25">
      <c r="B10" s="15">
        <v>30</v>
      </c>
      <c r="C10" s="16">
        <f>AVERAGEIFS('1. Datos_Crudos'!$J:$J,'1. Datos_Crudos'!$B:$B,"A2 - Fibonacci",'1. Datos_Crudos'!$C:$C,"Iterativo",'1. Datos_Crudos'!$D:$D,B10)</f>
        <v>1.1404000000000001E-2</v>
      </c>
      <c r="D10" s="20">
        <f>AVERAGEIFS('1. Datos_Crudos'!$J:$J,'1. Datos_Crudos'!$B:$B,"A2 - Fibonacci",'1. Datos_Crudos'!$C:$C,"Recursivo",'1. Datos_Crudos'!$D:$D,B10)</f>
        <v>2.6821120000000001</v>
      </c>
    </row>
    <row r="12" spans="2:4" ht="39.75" customHeight="1" x14ac:dyDescent="0.25">
      <c r="B12" s="38" t="s">
        <v>41</v>
      </c>
      <c r="C12" s="38"/>
      <c r="D12" s="38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1"/>
  <sheetViews>
    <sheetView showGridLines="0" zoomScaleNormal="10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6" t="s">
        <v>42</v>
      </c>
      <c r="C1" s="36"/>
      <c r="D1" s="36"/>
    </row>
    <row r="2" spans="2:4" ht="21.75" customHeight="1" x14ac:dyDescent="0.25">
      <c r="B2" s="3" t="s">
        <v>32</v>
      </c>
      <c r="C2" s="11" t="s">
        <v>33</v>
      </c>
      <c r="D2" s="11" t="s">
        <v>34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36</v>
      </c>
    </row>
    <row r="5" spans="2:4" ht="19.5" customHeight="1" x14ac:dyDescent="0.25">
      <c r="B5" s="12">
        <v>100</v>
      </c>
      <c r="C5" s="13">
        <f>AVERAGEIFS('1. Datos_Crudos'!$J:$J,'1. Datos_Crudos'!$B:$B,"A3 - Busqueda Lineal",'1. Datos_Crudos'!$C:$C,"Iterativo",'1. Datos_Crudos'!$D:$D,B5)</f>
        <v>0.14046400000000001</v>
      </c>
      <c r="D5" s="14">
        <f>AVERAGEIFS('1. Datos_Crudos'!$J:$J,'1. Datos_Crudos'!$B:$B,"A3 - Busqueda Lineal",'1. Datos_Crudos'!$C:$C,"Recursivo",'1. Datos_Crudos'!$D:$D,B5)</f>
        <v>6.9519999999999998E-3</v>
      </c>
    </row>
    <row r="6" spans="2:4" ht="19.5" customHeight="1" x14ac:dyDescent="0.25">
      <c r="B6" s="15">
        <v>500</v>
      </c>
      <c r="C6" s="16">
        <f>AVERAGEIFS('1. Datos_Crudos'!$J:$J,'1. Datos_Crudos'!$B:$B,"A3 - Busqueda Lineal",'1. Datos_Crudos'!$C:$C,"Iterativo",'1. Datos_Crudos'!$D:$D,B6)</f>
        <v>1.4079999999999999E-2</v>
      </c>
      <c r="D6" s="17">
        <f>AVERAGEIFS('1. Datos_Crudos'!$J:$J,'1. Datos_Crudos'!$B:$B,"A3 - Busqueda Lineal",'1. Datos_Crudos'!$C:$C,"Recursivo",'1. Datos_Crudos'!$D:$D,B6)</f>
        <v>2.3931999999999998E-2</v>
      </c>
    </row>
    <row r="7" spans="2:4" ht="19.5" customHeight="1" x14ac:dyDescent="0.25">
      <c r="B7" s="12">
        <v>1000</v>
      </c>
      <c r="C7" s="13">
        <f>AVERAGEIFS('1. Datos_Crudos'!$J:$J,'1. Datos_Crudos'!$B:$B,"A3 - Busqueda Lineal",'1. Datos_Crudos'!$C:$C,"Iterativo",'1. Datos_Crudos'!$D:$D,B7)</f>
        <v>1.6879999999999999E-2</v>
      </c>
      <c r="D7" s="14">
        <f>AVERAGEIFS('1. Datos_Crudos'!$J:$J,'1. Datos_Crudos'!$B:$B,"A3 - Busqueda Lineal",'1. Datos_Crudos'!$C:$C,"Recursivo",'1. Datos_Crudos'!$D:$D,B7)</f>
        <v>1.5103999999999998E-2</v>
      </c>
    </row>
    <row r="8" spans="2:4" ht="19.5" customHeight="1" x14ac:dyDescent="0.25">
      <c r="B8" s="15">
        <v>5000</v>
      </c>
      <c r="C8" s="16">
        <f>AVERAGEIFS('1. Datos_Crudos'!$J:$J,'1. Datos_Crudos'!$B:$B,"A3 - Busqueda Lineal",'1. Datos_Crudos'!$C:$C,"Iterativo",'1. Datos_Crudos'!$D:$D,B8)</f>
        <v>4.0127999999999997E-2</v>
      </c>
      <c r="D8" s="17">
        <f>AVERAGEIFS('1. Datos_Crudos'!$J:$J,'1. Datos_Crudos'!$B:$B,"A3 - Busqueda Lineal",'1. Datos_Crudos'!$C:$C,"Recursivo",'1. Datos_Crudos'!$D:$D,B8)</f>
        <v>4.1535999999999997E-2</v>
      </c>
    </row>
    <row r="9" spans="2:4" ht="19.5" customHeight="1" x14ac:dyDescent="0.25">
      <c r="B9" s="12">
        <v>10000</v>
      </c>
      <c r="C9" s="13">
        <f>AVERAGEIFS('1. Datos_Crudos'!$J:$J,'1. Datos_Crudos'!$B:$B,"A3 - Busqueda Lineal",'1. Datos_Crudos'!$C:$C,"Iterativo",'1. Datos_Crudos'!$D:$D,B9)</f>
        <v>6.1231999999999995E-2</v>
      </c>
      <c r="D9" s="14">
        <f>AVERAGEIFS('1. Datos_Crudos'!$J:$J,'1. Datos_Crudos'!$B:$B,"A3 - Busqueda Lineal",'1. Datos_Crudos'!$C:$C,"Recursivo",'1. Datos_Crudos'!$D:$D,B9)</f>
        <v>2.4931999999999999E-2</v>
      </c>
    </row>
    <row r="11" spans="2:4" ht="39.75" customHeight="1" x14ac:dyDescent="0.25">
      <c r="B11" s="38" t="s">
        <v>43</v>
      </c>
      <c r="C11" s="38"/>
      <c r="D11" s="38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1"/>
  <sheetViews>
    <sheetView showGridLines="0" zoomScaleNormal="10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6" t="s">
        <v>44</v>
      </c>
      <c r="C1" s="36"/>
      <c r="D1" s="36"/>
    </row>
    <row r="2" spans="2:4" ht="21.75" customHeight="1" x14ac:dyDescent="0.25">
      <c r="B2" s="3" t="s">
        <v>32</v>
      </c>
      <c r="C2" s="11" t="s">
        <v>45</v>
      </c>
      <c r="D2" s="11" t="s">
        <v>46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47</v>
      </c>
      <c r="D4" s="2" t="s">
        <v>48</v>
      </c>
    </row>
    <row r="5" spans="2:4" ht="19.5" customHeight="1" x14ac:dyDescent="0.25">
      <c r="B5" s="12">
        <v>100</v>
      </c>
      <c r="C5" s="13">
        <f>AVERAGEIFS('1. Datos_Crudos'!$J:$J,'1. Datos_Crudos'!$B:$B,"A4 - Burbuja",'1. Datos_Crudos'!$C:$C,"Iterativo",'1. Datos_Crudos'!$D:$D,B5)</f>
        <v>0.14065599999999998</v>
      </c>
      <c r="D5" s="14">
        <f>AVERAGEIFS('1. Datos_Crudos'!$J:$J,'1. Datos_Crudos'!$B:$B,"A4 - Burbuja",'1. Datos_Crudos'!$C:$C,"Recursivo",'1. Datos_Crudos'!$D:$D,B5)</f>
        <v>3.6276000000000003E-2</v>
      </c>
    </row>
    <row r="6" spans="2:4" ht="19.5" customHeight="1" x14ac:dyDescent="0.25">
      <c r="B6" s="15">
        <v>500</v>
      </c>
      <c r="C6" s="16">
        <f>AVERAGEIFS('1. Datos_Crudos'!$J:$J,'1. Datos_Crudos'!$B:$B,"A4 - Burbuja",'1. Datos_Crudos'!$C:$C,"Iterativo",'1. Datos_Crudos'!$D:$D,B6)</f>
        <v>0.41980400000000007</v>
      </c>
      <c r="D6" s="17">
        <f>AVERAGEIFS('1. Datos_Crudos'!$J:$J,'1. Datos_Crudos'!$B:$B,"A4 - Burbuja",'1. Datos_Crudos'!$C:$C,"Recursivo",'1. Datos_Crudos'!$D:$D,B6)</f>
        <v>0.14738800000000002</v>
      </c>
    </row>
    <row r="7" spans="2:4" ht="19.5" customHeight="1" x14ac:dyDescent="0.25">
      <c r="B7" s="12">
        <v>1000</v>
      </c>
      <c r="C7" s="13">
        <f>AVERAGEIFS('1. Datos_Crudos'!$J:$J,'1. Datos_Crudos'!$B:$B,"A4 - Burbuja",'1. Datos_Crudos'!$C:$C,"Iterativo",'1. Datos_Crudos'!$D:$D,B7)</f>
        <v>0.16869600000000001</v>
      </c>
      <c r="D7" s="14">
        <f>AVERAGEIFS('1. Datos_Crudos'!$J:$J,'1. Datos_Crudos'!$B:$B,"A4 - Burbuja",'1. Datos_Crudos'!$C:$C,"Recursivo",'1. Datos_Crudos'!$D:$D,B7)</f>
        <v>0.40712000000000004</v>
      </c>
    </row>
    <row r="8" spans="2:4" ht="19.5" customHeight="1" x14ac:dyDescent="0.25">
      <c r="B8" s="15">
        <v>5000</v>
      </c>
      <c r="C8" s="16">
        <f>AVERAGEIFS('1. Datos_Crudos'!$J:$J,'1. Datos_Crudos'!$B:$B,"A4 - Burbuja",'1. Datos_Crudos'!$C:$C,"Iterativo",'1. Datos_Crudos'!$D:$D,B8)</f>
        <v>1.5659160000000001</v>
      </c>
      <c r="D8" s="17">
        <f>AVERAGEIFS('1. Datos_Crudos'!$J:$J,'1. Datos_Crudos'!$B:$B,"A4 - Burbuja",'1. Datos_Crudos'!$C:$C,"Recursivo",'1. Datos_Crudos'!$D:$D,B8)</f>
        <v>1.4280200000000001</v>
      </c>
    </row>
    <row r="9" spans="2:4" ht="19.5" customHeight="1" x14ac:dyDescent="0.25">
      <c r="B9" s="12">
        <v>10000</v>
      </c>
      <c r="C9" s="13">
        <f>AVERAGEIFS('1. Datos_Crudos'!$J:$J,'1. Datos_Crudos'!$B:$B,"A4 - Burbuja",'1. Datos_Crudos'!$C:$C,"Iterativo",'1. Datos_Crudos'!$D:$D,B9)</f>
        <v>5.6599959999999996</v>
      </c>
      <c r="D9" s="14">
        <f>AVERAGEIFS('1. Datos_Crudos'!$J:$J,'1. Datos_Crudos'!$B:$B,"A4 - Burbuja",'1. Datos_Crudos'!$C:$C,"Recursivo",'1. Datos_Crudos'!$D:$D,B9)</f>
        <v>5.3761120000000009</v>
      </c>
    </row>
    <row r="11" spans="2:4" ht="39.75" customHeight="1" x14ac:dyDescent="0.25">
      <c r="B11" s="38" t="s">
        <v>49</v>
      </c>
      <c r="C11" s="38"/>
      <c r="D11" s="38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showGridLines="0" zoomScaleNormal="100" workbookViewId="0">
      <selection activeCell="D7" sqref="D7"/>
    </sheetView>
  </sheetViews>
  <sheetFormatPr baseColWidth="10" defaultColWidth="8.7109375" defaultRowHeight="15" customHeight="1" x14ac:dyDescent="0.25"/>
  <cols>
    <col min="1" max="1" width="3" customWidth="1"/>
    <col min="2" max="2" width="24" customWidth="1"/>
    <col min="3" max="3" width="16" customWidth="1"/>
    <col min="4" max="4" width="16.7109375" bestFit="1" customWidth="1"/>
    <col min="5" max="5" width="20" customWidth="1"/>
    <col min="6" max="6" width="16" customWidth="1"/>
    <col min="7" max="7" width="77.140625" customWidth="1"/>
  </cols>
  <sheetData>
    <row r="1" spans="2:7" ht="33.75" customHeight="1" x14ac:dyDescent="0.25">
      <c r="B1" s="36" t="s">
        <v>50</v>
      </c>
      <c r="C1" s="36"/>
      <c r="D1" s="36"/>
      <c r="E1" s="36"/>
      <c r="F1" s="36"/>
      <c r="G1" s="36"/>
    </row>
    <row r="2" spans="2:7" ht="9.75" customHeight="1" x14ac:dyDescent="0.25"/>
    <row r="3" spans="2:7" ht="30" customHeight="1" x14ac:dyDescent="0.25">
      <c r="B3" s="21" t="s">
        <v>15</v>
      </c>
      <c r="C3" s="21" t="s">
        <v>16</v>
      </c>
      <c r="D3" s="22" t="s">
        <v>51</v>
      </c>
      <c r="E3" s="23" t="s">
        <v>52</v>
      </c>
      <c r="F3" s="23" t="s">
        <v>53</v>
      </c>
      <c r="G3" s="23" t="s">
        <v>54</v>
      </c>
    </row>
    <row r="4" spans="2:7" x14ac:dyDescent="0.25">
      <c r="B4" s="23" t="s">
        <v>24</v>
      </c>
      <c r="C4" s="24" t="s">
        <v>25</v>
      </c>
      <c r="D4" s="43" t="s">
        <v>33</v>
      </c>
      <c r="E4" s="23" t="s">
        <v>33</v>
      </c>
      <c r="F4" s="25" t="s">
        <v>67</v>
      </c>
      <c r="G4" t="s">
        <v>65</v>
      </c>
    </row>
    <row r="5" spans="2:7" ht="21.75" customHeight="1" x14ac:dyDescent="0.25">
      <c r="B5" s="26" t="s">
        <v>24</v>
      </c>
      <c r="C5" s="27" t="s">
        <v>26</v>
      </c>
      <c r="D5" s="43" t="s">
        <v>33</v>
      </c>
      <c r="E5" s="26" t="s">
        <v>33</v>
      </c>
      <c r="F5" s="25" t="s">
        <v>67</v>
      </c>
      <c r="G5" t="s">
        <v>66</v>
      </c>
    </row>
    <row r="6" spans="2:7" ht="21.75" customHeight="1" x14ac:dyDescent="0.25">
      <c r="B6" s="23" t="s">
        <v>27</v>
      </c>
      <c r="C6" s="24" t="s">
        <v>25</v>
      </c>
      <c r="D6" s="43" t="s">
        <v>33</v>
      </c>
      <c r="E6" s="23" t="s">
        <v>33</v>
      </c>
      <c r="F6" s="25" t="s">
        <v>67</v>
      </c>
      <c r="G6" t="s">
        <v>68</v>
      </c>
    </row>
    <row r="7" spans="2:7" ht="21.75" customHeight="1" x14ac:dyDescent="0.25">
      <c r="B7" s="26" t="s">
        <v>27</v>
      </c>
      <c r="C7" s="27" t="s">
        <v>26</v>
      </c>
      <c r="D7" s="43" t="s">
        <v>55</v>
      </c>
      <c r="E7" s="26" t="s">
        <v>55</v>
      </c>
      <c r="F7" s="25" t="s">
        <v>67</v>
      </c>
      <c r="G7" t="s">
        <v>69</v>
      </c>
    </row>
    <row r="8" spans="2:7" ht="21.75" customHeight="1" x14ac:dyDescent="0.25">
      <c r="B8" s="23" t="s">
        <v>28</v>
      </c>
      <c r="C8" s="24" t="s">
        <v>25</v>
      </c>
      <c r="D8" s="43" t="s">
        <v>33</v>
      </c>
      <c r="E8" s="23" t="s">
        <v>33</v>
      </c>
      <c r="F8" s="25" t="s">
        <v>67</v>
      </c>
      <c r="G8" t="s">
        <v>70</v>
      </c>
    </row>
    <row r="9" spans="2:7" ht="21.75" customHeight="1" x14ac:dyDescent="0.25">
      <c r="B9" s="26" t="s">
        <v>28</v>
      </c>
      <c r="C9" s="27" t="s">
        <v>26</v>
      </c>
      <c r="D9" s="43" t="s">
        <v>33</v>
      </c>
      <c r="E9" s="26" t="s">
        <v>33</v>
      </c>
      <c r="F9" s="25" t="s">
        <v>67</v>
      </c>
      <c r="G9" t="s">
        <v>71</v>
      </c>
    </row>
    <row r="10" spans="2:7" ht="21.75" customHeight="1" x14ac:dyDescent="0.25">
      <c r="B10" s="23" t="s">
        <v>29</v>
      </c>
      <c r="C10" s="24" t="s">
        <v>25</v>
      </c>
      <c r="D10" s="43" t="s">
        <v>45</v>
      </c>
      <c r="E10" s="23" t="s">
        <v>45</v>
      </c>
      <c r="F10" s="25" t="s">
        <v>67</v>
      </c>
      <c r="G10" t="s">
        <v>73</v>
      </c>
    </row>
    <row r="11" spans="2:7" ht="21.75" customHeight="1" x14ac:dyDescent="0.25">
      <c r="B11" s="26" t="s">
        <v>29</v>
      </c>
      <c r="C11" s="27" t="s">
        <v>26</v>
      </c>
      <c r="D11" s="43" t="s">
        <v>45</v>
      </c>
      <c r="E11" s="26" t="s">
        <v>45</v>
      </c>
      <c r="F11" s="25" t="s">
        <v>67</v>
      </c>
      <c r="G11" t="s">
        <v>72</v>
      </c>
    </row>
    <row r="14" spans="2:7" ht="7.5" customHeight="1" x14ac:dyDescent="0.25"/>
    <row r="15" spans="2:7" ht="15" customHeight="1" x14ac:dyDescent="0.25">
      <c r="B15" s="40" t="s">
        <v>56</v>
      </c>
      <c r="C15" s="40"/>
      <c r="D15" s="40"/>
      <c r="E15" s="40"/>
      <c r="F15" s="40"/>
      <c r="G15" s="40"/>
    </row>
    <row r="16" spans="2:7" ht="19.5" customHeight="1" x14ac:dyDescent="0.25">
      <c r="B16" s="3" t="s">
        <v>57</v>
      </c>
      <c r="C16" s="41" t="s">
        <v>58</v>
      </c>
      <c r="D16" s="41"/>
      <c r="E16" s="41"/>
      <c r="F16" s="41"/>
      <c r="G16" s="41"/>
    </row>
    <row r="17" spans="2:7" ht="19.5" customHeight="1" x14ac:dyDescent="0.25">
      <c r="B17" s="8" t="s">
        <v>59</v>
      </c>
      <c r="C17" s="42" t="s">
        <v>60</v>
      </c>
      <c r="D17" s="42"/>
      <c r="E17" s="42"/>
      <c r="F17" s="42"/>
      <c r="G17" s="42"/>
    </row>
    <row r="18" spans="2:7" ht="19.5" customHeight="1" x14ac:dyDescent="0.25">
      <c r="B18" s="3" t="s">
        <v>61</v>
      </c>
      <c r="C18" s="41" t="s">
        <v>62</v>
      </c>
      <c r="D18" s="41"/>
      <c r="E18" s="41"/>
      <c r="F18" s="41"/>
      <c r="G18" s="41"/>
    </row>
    <row r="19" spans="2:7" ht="19.5" customHeight="1" x14ac:dyDescent="0.25">
      <c r="B19" s="28" t="s">
        <v>63</v>
      </c>
      <c r="C19" s="39" t="s">
        <v>64</v>
      </c>
      <c r="D19" s="39"/>
      <c r="E19" s="39"/>
      <c r="F19" s="39"/>
      <c r="G19" s="39"/>
    </row>
  </sheetData>
  <mergeCells count="6">
    <mergeCell ref="C19:G19"/>
    <mergeCell ref="B1:G1"/>
    <mergeCell ref="B15:G15"/>
    <mergeCell ref="C16:G16"/>
    <mergeCell ref="C17:G17"/>
    <mergeCell ref="C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Guia de Uso</vt:lpstr>
      <vt:lpstr>1. Datos_Crudos</vt:lpstr>
      <vt:lpstr>2. Factorial</vt:lpstr>
      <vt:lpstr>3. Fibonacci</vt:lpstr>
      <vt:lpstr>4. Busqueda Lineal</vt:lpstr>
      <vt:lpstr>5. Burbuja</vt:lpstr>
      <vt:lpstr>6.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Marroquin Vargas, Grilmar Adrian</cp:lastModifiedBy>
  <cp:revision>1</cp:revision>
  <dcterms:created xsi:type="dcterms:W3CDTF">2026-02-20T06:55:59Z</dcterms:created>
  <dcterms:modified xsi:type="dcterms:W3CDTF">2026-03-04T03:19:58Z</dcterms:modified>
  <dc:language>en-US</dc:language>
</cp:coreProperties>
</file>